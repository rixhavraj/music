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21450b7e8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kery Leads" sheetId="1" r:id="Ra24d92e76e1f4837"/>
    <x:sheet xmlns:r="http://schemas.openxmlformats.org/officeDocument/2006/relationships" name="Summary" sheetId="2" r:id="R147f55f7c60d4e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  <x:font>
      <x:sz val="11"/>
      <x:color rgb="FF0F172A"/>
      <x:name val="Aptos"/>
    </x:font>
    <x:font>
      <x:b/>
      <x:sz val="18"/>
      <x:color rgb="FF234E52"/>
      <x:name val="Aptos"/>
    </x:font>
    <x:font>
      <x:i/>
      <x:sz val="10"/>
      <x:color rgb="FF475569"/>
      <x:name val="Aptos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34E52"/>
      </x:patternFill>
    </x:fill>
    <x:fill>
      <x:patternFill patternType="solid">
        <x:fgColor rgb="FFF8FAFC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200" fontId="0" fillId="0" borderId="0" xfId="0" applyNumberFormat="1" applyFont="1" applyFill="1" applyBorder="1"/>
    <x:xf numFmtId="0" fontId="6" fillId="2" borderId="9" xfId="0" applyNumberFormat="1" applyFont="1" applyFill="1" applyBorder="1"/>
    <x:xf numFmtId="0" fontId="7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0c95cc08c48be" /><Relationship Type="http://schemas.openxmlformats.org/officeDocument/2006/relationships/theme" Target="/xl/theme/theme1.xml" Id="R7b8a07d2f45a4585" /><Relationship Type="http://schemas.openxmlformats.org/officeDocument/2006/relationships/sharedStrings" Target="/xl/sharedStrings.xml" Id="Rf2fa963165d34b22" /><Relationship Type="http://schemas.openxmlformats.org/officeDocument/2006/relationships/worksheet" Target="/xl/worksheets/sheet1.xml" Id="Ra24d92e76e1f4837" /><Relationship Type="http://schemas.openxmlformats.org/officeDocument/2006/relationships/worksheet" Target="/xl/worksheets/sheet2.xml" Id="R147f55f7c60d4e74" /></Relationships>
</file>

<file path=xl/tables/table1.xml><?xml version="1.0" encoding="utf-8"?>
<x:table xmlns:x="http://schemas.openxmlformats.org/spreadsheetml/2006/main" id="1" name="BakeryLeadsTable" displayName="BakeryLeadsTable" ref="A1:O41" headerRowCount="1" totalsRowCount="0" totalsRowShown="0">
  <x:autoFilter ref="A1:O41"/>
  <x:tableColumns count="15">
    <x:tableColumn id="1" name="Business Name"/>
    <x:tableColumn id="2" name="Business Type"/>
    <x:tableColumn id="3" name="Phone"/>
    <x:tableColumn id="4" name="Email"/>
    <x:tableColumn id="5" name="Address"/>
    <x:tableColumn id="6" name="City"/>
    <x:tableColumn id="7" name="State"/>
    <x:tableColumn id="8" name="ZIP"/>
    <x:tableColumn id="9" name="Website / Source"/>
    <x:tableColumn id="10" name="Sales Angle"/>
    <x:tableColumn id="11" name="Website Status"/>
    <x:tableColumn id="12" name="Priority"/>
    <x:tableColumn id="13" name="Outreach Status"/>
    <x:tableColumn id="14" name="How To Pitch / What They Want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3d4909bbcd4a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0" hidden="0" customWidth="1"/>
    <x:col min="4" max="4" width="20" hidden="0" customWidth="1"/>
    <x:col min="5" max="5" width="28" hidden="0" customWidth="1"/>
    <x:col min="6" max="6" width="13" hidden="0" customWidth="1"/>
    <x:col min="7" max="7" width="13" hidden="0" customWidth="1"/>
    <x:col min="8" max="8" width="13" hidden="0" customWidth="1"/>
    <x:col min="9" max="9" width="44" hidden="0" customWidth="1"/>
    <x:col min="10" max="10" width="42" hidden="0" customWidth="1"/>
    <x:col min="11" max="11" width="16" hidden="0" customWidth="1"/>
    <x:col min="12" max="12" width="16" hidden="0" customWidth="1"/>
    <x:col min="13" max="13" width="16" hidden="0" customWidth="1"/>
    <x:col min="14" max="14" width="58" hidden="0" customWidth="1"/>
    <x:col min="15" max="15" width="34" hidden="0" customWidth="1"/>
  </x:cols>
  <x:sheetData>
    <x:row r="1" ht="32" customHeight="1">
      <x:c r="A1" s="8" t="str">
        <x:v>Business Name</x:v>
      </x:c>
      <x:c r="B1" s="9" t="str">
        <x:v>Business Type</x:v>
      </x:c>
      <x:c r="C1" s="9" t="str">
        <x:v>Phone</x:v>
      </x:c>
      <x:c r="D1" s="9" t="str">
        <x:v>Email</x:v>
      </x:c>
      <x:c r="E1" s="9" t="str">
        <x:v>Address</x:v>
      </x:c>
      <x:c r="F1" s="9" t="str">
        <x:v>City</x:v>
      </x:c>
      <x:c r="G1" s="9" t="str">
        <x:v>State</x:v>
      </x:c>
      <x:c r="H1" s="9" t="str">
        <x:v>ZIP</x:v>
      </x:c>
      <x:c r="I1" s="9" t="str">
        <x:v>Website / Source</x:v>
      </x:c>
      <x:c r="J1" s="9" t="str">
        <x:v>Sales Angle</x:v>
      </x:c>
      <x:c r="K1" s="9" t="str">
        <x:v>Website Status</x:v>
      </x:c>
      <x:c r="L1" s="9" t="str">
        <x:v>Priority</x:v>
      </x:c>
      <x:c r="M1" s="9" t="str">
        <x:v>Outreach Status</x:v>
      </x:c>
      <x:c r="N1" s="9" t="str">
        <x:v>How To Pitch / What They Want</x:v>
      </x:c>
      <x:c r="O1" s="10" t="str">
        <x:v>Notes</x:v>
      </x:c>
    </x:row>
    <x:row r="2" ht="64" customHeight="1">
      <x:c r="A2" s="11" t="str">
        <x:v>Kabir's Bakery</x:v>
      </x:c>
      <x:c r="B2" s="7" t="str">
        <x:v>Wholesale bakery</x:v>
      </x:c>
      <x:c r="C2" s="7" t="str">
        <x:v>(718) 852-1768</x:v>
      </x:c>
      <x:c r="D2" s="7" t="str">
        <x:v>order@kabirsbakery.com</x:v>
      </x:c>
      <x:c r="E2" s="7" t="str">
        <x:v>19 5th Street</x:v>
      </x:c>
      <x:c r="F2" s="7" t="str">
        <x:v>Brooklyn</x:v>
      </x:c>
      <x:c r="G2" s="7" t="str">
        <x:v>NY</x:v>
      </x:c>
      <x:c r="H2" s="7" t="str">
        <x:v>11231</x:v>
      </x:c>
      <x:c r="I2" s="7" t="str">
        <x:v>https://kabirsbakery.nyc/</x:v>
      </x:c>
      <x:c r="J2" s="7" t="str">
        <x:v>Wholesale baking, delivery across five boroughs</x:v>
      </x:c>
      <x:c r="K2" s="7" t="str">
        <x:v>Working website</x:v>
      </x:c>
      <x:c r="L2" s="7" t="str">
        <x:v>Medium</x:v>
      </x:c>
      <x:c r="M2" s="7" t="str">
        <x:v>New</x:v>
      </x:c>
      <x:c r="N2" s="7" t="str">
        <x:v>Pitch wholesale lead capture: product catalog, account-request form, route/service area page, and email/phone CTAs. They likely want reliable restaurant/cafe buyers and easier repeat orders.</x:v>
      </x:c>
      <x:c r="O2" s="12"/>
    </x:row>
    <x:row r="3" ht="64" customHeight="1">
      <x:c r="A3" s="11" t="str">
        <x:v>Bourke Street Bakery NYC - NoMad</x:v>
      </x:c>
      <x:c r="B3" s="7" t="str">
        <x:v>Bakery cafe</x:v>
      </x:c>
      <x:c r="C3" s="7" t="str">
        <x:v>718-744-4803</x:v>
      </x:c>
      <x:c r="D3" s="7"/>
      <x:c r="E3" s="7" t="str">
        <x:v>15 East 28th Street</x:v>
      </x:c>
      <x:c r="F3" s="7" t="str">
        <x:v>New York</x:v>
      </x:c>
      <x:c r="G3" s="7" t="str">
        <x:v>NY</x:v>
      </x:c>
      <x:c r="H3" s="7" t="str">
        <x:v>10016</x:v>
      </x:c>
      <x:c r="I3" s="7" t="str">
        <x:v>https://www.bourkestreetbakery.com/contact</x:v>
      </x:c>
      <x:c r="J3" s="7" t="str">
        <x:v>Artisanal bakery-cafe; pastries, sourdough, coffee</x:v>
      </x:c>
      <x:c r="K3" s="7" t="str">
        <x:v>Working website</x:v>
      </x:c>
      <x:c r="L3" s="7" t="str">
        <x:v>Low</x:v>
      </x:c>
      <x:c r="M3" s="7" t="str">
        <x:v>New</x:v>
      </x:c>
      <x:c r="N3" s="7" t="str">
        <x:v>Pitch a focused refresh: mobile menu, photos, reviews, online ordering/contact CTA, and neighborhood SEO. They likely want more walk-ins, calls, and repeat customers.</x:v>
      </x:c>
      <x:c r="O3" s="12"/>
    </x:row>
    <x:row r="4" ht="64" customHeight="1">
      <x:c r="A4" s="11" t="str">
        <x:v>Bourke Street Bakery NYC - Grand Central</x:v>
      </x:c>
      <x:c r="B4" s="7" t="str">
        <x:v>Bakery cafe</x:v>
      </x:c>
      <x:c r="C4" s="7" t="str">
        <x:v>917-597-8332</x:v>
      </x:c>
      <x:c r="D4" s="7"/>
      <x:c r="E4" s="7" t="str">
        <x:v>89 E 42nd Street, Suite MC-30</x:v>
      </x:c>
      <x:c r="F4" s="7" t="str">
        <x:v>New York</x:v>
      </x:c>
      <x:c r="G4" s="7" t="str">
        <x:v>NY</x:v>
      </x:c>
      <x:c r="H4" s="7" t="str">
        <x:v>10017</x:v>
      </x:c>
      <x:c r="I4" s="7" t="str">
        <x:v>https://www.bourkestreetbakery.com/contact</x:v>
      </x:c>
      <x:c r="J4" s="7" t="str">
        <x:v>High-traffic location; order and location-page opportunity</x:v>
      </x:c>
      <x:c r="K4" s="7" t="str">
        <x:v>Working website</x:v>
      </x:c>
      <x:c r="L4" s="7" t="str">
        <x:v>Low</x:v>
      </x:c>
      <x:c r="M4" s="7" t="str">
        <x:v>New</x:v>
      </x:c>
      <x:c r="N4" s="7" t="str">
        <x:v>Pitch a focused refresh: mobile menu, photos, reviews, online ordering/contact CTA, and neighborhood SEO. They likely want more walk-ins, calls, and repeat customers.</x:v>
      </x:c>
      <x:c r="O4" s="12"/>
    </x:row>
    <x:row r="5" ht="64" customHeight="1">
      <x:c r="A5" s="11" t="str">
        <x:v>Grandaisy Bakery</x:v>
      </x:c>
      <x:c r="B5" s="7" t="str">
        <x:v>Artisan bakery</x:v>
      </x:c>
      <x:c r="C5" s="7" t="str">
        <x:v>212-334-9435</x:v>
      </x:c>
      <x:c r="D5" s="7" t="str">
        <x:v>info@grandaisybakery.com</x:v>
      </x:c>
      <x:c r="E5" s="7" t="str">
        <x:v>250 West Broadway</x:v>
      </x:c>
      <x:c r="F5" s="7" t="str">
        <x:v>New York</x:v>
      </x:c>
      <x:c r="G5" s="7" t="str">
        <x:v>NY</x:v>
      </x:c>
      <x:c r="H5" s="7" t="str">
        <x:v>10013</x:v>
      </x:c>
      <x:c r="I5" s="7" t="str">
        <x:v>https://www.grandaisybakery.com/</x:v>
      </x:c>
      <x:c r="J5" s="7" t="str">
        <x:v>Artisan bread, pizza, pastries; has wholesale inquiries</x:v>
      </x:c>
      <x:c r="K5" s="7" t="str">
        <x:v>Working website</x:v>
      </x:c>
      <x:c r="L5" s="7" t="str">
        <x:v>Medium</x:v>
      </x:c>
      <x:c r="M5" s="7" t="str">
        <x:v>New</x:v>
      </x:c>
      <x:c r="N5" s="7" t="str">
        <x:v>Pitch a focused refresh: mobile menu, photos, reviews, online ordering/contact CTA, and neighborhood SEO. They likely want more walk-ins, calls, and repeat customers.</x:v>
      </x:c>
      <x:c r="O5" s="12"/>
    </x:row>
    <x:row r="6" ht="64" customHeight="1">
      <x:c r="A6" s="11" t="str">
        <x:v>Pancito Bakery</x:v>
      </x:c>
      <x:c r="B6" s="7" t="str">
        <x:v>Wholesale artisan bakery</x:v>
      </x:c>
      <x:c r="C6" s="7" t="str">
        <x:v>929-732-1012</x:v>
      </x:c>
      <x:c r="D6" s="7" t="str">
        <x:v>sales@pancito.com</x:v>
      </x:c>
      <x:c r="E6" s="7"/>
      <x:c r="F6" s="7" t="str">
        <x:v>New York</x:v>
      </x:c>
      <x:c r="G6" s="7" t="str">
        <x:v>NY</x:v>
      </x:c>
      <x:c r="H6" s="7"/>
      <x:c r="I6" s="7" t="str">
        <x:v>https://pancito.com/contact-artisanal-bakery-ny/</x:v>
      </x:c>
      <x:c r="J6" s="7" t="str">
        <x:v>Wholesale in local New York area</x:v>
      </x:c>
      <x:c r="K6" s="7" t="str">
        <x:v>Working website</x:v>
      </x:c>
      <x:c r="L6" s="7" t="str">
        <x:v>Medium</x:v>
      </x:c>
      <x:c r="M6" s="7" t="str">
        <x:v>New</x:v>
      </x:c>
      <x:c r="N6" s="7" t="str">
        <x:v>Pitch wholesale lead capture: product catalog, account-request form, route/service area page, and email/phone CTAs. They likely want reliable restaurant/cafe buyers and easier repeat orders.</x:v>
      </x:c>
      <x:c r="O6" s="12"/>
    </x:row>
    <x:row r="7" ht="64" customHeight="1">
      <x:c r="A7" s="11" t="str">
        <x:v>Balthazar Bakery</x:v>
      </x:c>
      <x:c r="B7" s="7" t="str">
        <x:v>Bakery retail/catering</x:v>
      </x:c>
      <x:c r="C7" s="7" t="str">
        <x:v>(212) 965-1785</x:v>
      </x:c>
      <x:c r="D7" s="7" t="str">
        <x:v>contact@balthazarbakery.com</x:v>
      </x:c>
      <x:c r="E7" s="7" t="str">
        <x:v>80 Spring Street</x:v>
      </x:c>
      <x:c r="F7" s="7" t="str">
        <x:v>New York</x:v>
      </x:c>
      <x:c r="G7" s="7" t="str">
        <x:v>NY</x:v>
      </x:c>
      <x:c r="H7" s="7" t="str">
        <x:v>10012</x:v>
      </x:c>
      <x:c r="I7" s="7" t="str">
        <x:v>https://balthazarny.com/bakery/</x:v>
      </x:c>
      <x:c r="J7" s="7" t="str">
        <x:v>Catering, cakes, tarts, breads, delivery</x:v>
      </x:c>
      <x:c r="K7" s="7" t="str">
        <x:v>Working website</x:v>
      </x:c>
      <x:c r="L7" s="7" t="str">
        <x:v>Low</x:v>
      </x:c>
      <x:c r="M7" s="7" t="str">
        <x:v>New</x:v>
      </x:c>
      <x:c r="N7" s="7" t="str">
        <x:v>Pitch online ordering for events: cake/catering inquiry form, photo gallery, deposit/payment workflow, and occasion pages. They likely want higher-value custom orders with less back-and-forth.</x:v>
      </x:c>
      <x:c r="O7" s="12"/>
    </x:row>
    <x:row r="8" ht="64" customHeight="1">
      <x:c r="A8" s="11" t="str">
        <x:v>Big Booty Bread Co.</x:v>
      </x:c>
      <x:c r="B8" s="7" t="str">
        <x:v>Bakery</x:v>
      </x:c>
      <x:c r="C8" s="7" t="str">
        <x:v>212.414.3056</x:v>
      </x:c>
      <x:c r="D8" s="7" t="str">
        <x:v>Bigbootybreadco@gmail.com</x:v>
      </x:c>
      <x:c r="E8" s="7" t="str">
        <x:v>261 W 23rd Street</x:v>
      </x:c>
      <x:c r="F8" s="7" t="str">
        <x:v>New York</x:v>
      </x:c>
      <x:c r="G8" s="7" t="str">
        <x:v>NY</x:v>
      </x:c>
      <x:c r="H8" s="7" t="str">
        <x:v>10011</x:v>
      </x:c>
      <x:c r="I8" s="7" t="str">
        <x:v>https://www.bigbootybreadco.com/</x:v>
      </x:c>
      <x:c r="J8" s="7" t="str">
        <x:v>Latin-inspired baked goods; retail bakery</x:v>
      </x:c>
      <x:c r="K8" s="7" t="str">
        <x:v>Working website</x:v>
      </x:c>
      <x:c r="L8" s="7" t="str">
        <x:v>Medium</x:v>
      </x:c>
      <x:c r="M8" s="7" t="str">
        <x:v>New</x:v>
      </x:c>
      <x:c r="N8" s="7" t="str">
        <x:v>Pitch a focused refresh: mobile menu, photos, reviews, online ordering/contact CTA, and neighborhood SEO. They likely want more walk-ins, calls, and repeat customers.</x:v>
      </x:c>
      <x:c r="O8" s="12"/>
    </x:row>
    <x:row r="9" ht="64" customHeight="1">
      <x:c r="A9" s="11" t="str">
        <x:v>Somedays Bakery - Bay Terrace</x:v>
      </x:c>
      <x:c r="B9" s="7" t="str">
        <x:v>Bakery cafe</x:v>
      </x:c>
      <x:c r="C9" s="7" t="str">
        <x:v>917-577-6287</x:v>
      </x:c>
      <x:c r="D9" s="7"/>
      <x:c r="E9" s="7" t="str">
        <x:v>The Bay Terrace</x:v>
      </x:c>
      <x:c r="F9" s="7" t="str">
        <x:v>Queens</x:v>
      </x:c>
      <x:c r="G9" s="7" t="str">
        <x:v>NY</x:v>
      </x:c>
      <x:c r="H9" s="7"/>
      <x:c r="I9" s="7" t="str">
        <x:v>https://bayterrace.com/business/somedays-bakery/</x:v>
      </x:c>
      <x:c r="J9" s="7" t="str">
        <x:v>Pastries, catering/private events/franchising noted</x:v>
      </x:c>
      <x:c r="K9" s="7" t="str">
        <x:v>Directory only / no clear site</x:v>
      </x:c>
      <x:c r="L9" s="7" t="str">
        <x:v>High</x:v>
      </x:c>
      <x:c r="M9" s="7" t="str">
        <x:v>New</x:v>
      </x:c>
      <x:c r="N9" s="7" t="str">
        <x:v>Pitch Somedays Bakery - Bay Terrace on replacing directory dependence with a simple bakery website: menu/product photos, call button, Google Maps, quote/order form, and SEO for Queens bakery searches. They likely want more calls, trust, and wholesale/custom-order inquiries.</x:v>
      </x:c>
      <x:c r="O9" s="12"/>
    </x:row>
    <x:row r="10" ht="64" customHeight="1">
      <x:c r="A10" s="11" t="str">
        <x:v>Eli's Bread</x:v>
      </x:c>
      <x:c r="B10" s="7" t="str">
        <x:v>Wholesale bakery</x:v>
      </x:c>
      <x:c r="C10" s="7" t="str">
        <x:v>(212) 831-4800</x:v>
      </x:c>
      <x:c r="D10" s="7" t="str">
        <x:v>rohit@elizabar.com</x:v>
      </x:c>
      <x:c r="E10" s="7" t="str">
        <x:v>403 East 91st Street</x:v>
      </x:c>
      <x:c r="F10" s="7" t="str">
        <x:v>New York</x:v>
      </x:c>
      <x:c r="G10" s="7" t="str">
        <x:v>NY</x:v>
      </x:c>
      <x:c r="H10" s="7" t="str">
        <x:v>10128</x:v>
      </x:c>
      <x:c r="I10" s="7" t="str">
        <x:v>https://www.elisbreadnyc.com/contactus</x:v>
      </x:c>
      <x:c r="J10" s="7" t="str">
        <x:v>Wholesale account contact and sales department listed</x:v>
      </x:c>
      <x:c r="K10" s="7" t="str">
        <x:v>Working website</x:v>
      </x:c>
      <x:c r="L10" s="7" t="str">
        <x:v>Medium</x:v>
      </x:c>
      <x:c r="M10" s="7" t="str">
        <x:v>New</x:v>
      </x:c>
      <x:c r="N10" s="7" t="str">
        <x:v>Pitch wholesale lead capture: product catalog, account-request form, route/service area page, and email/phone CTAs. They likely want reliable restaurant/cafe buyers and easier repeat orders.</x:v>
      </x:c>
      <x:c r="O10" s="12"/>
    </x:row>
    <x:row r="11" ht="64" customHeight="1">
      <x:c r="A11" s="11" t="str">
        <x:v>D'Lioz Bakery</x:v>
      </x:c>
      <x:c r="B11" s="7" t="str">
        <x:v>Artisanal cafe bakery</x:v>
      </x:c>
      <x:c r="C11" s="7" t="str">
        <x:v>+1 646-422-7201</x:v>
      </x:c>
      <x:c r="D11" s="7" t="str">
        <x:v>Dliozbakery@gmail.com</x:v>
      </x:c>
      <x:c r="E11" s="7" t="str">
        <x:v>969 Amsterdam Avenue</x:v>
      </x:c>
      <x:c r="F11" s="7" t="str">
        <x:v>New York</x:v>
      </x:c>
      <x:c r="G11" s="7" t="str">
        <x:v>NY</x:v>
      </x:c>
      <x:c r="H11" s="7" t="str">
        <x:v>10025</x:v>
      </x:c>
      <x:c r="I11" s="7" t="str">
        <x:v>https://dliozbakery.com/en/contact</x:v>
      </x:c>
      <x:c r="J11" s="7" t="str">
        <x:v>Phone and WhatsApp listed; reservations/groups</x:v>
      </x:c>
      <x:c r="K11" s="7" t="str">
        <x:v>Working website</x:v>
      </x:c>
      <x:c r="L11" s="7" t="str">
        <x:v>Medium</x:v>
      </x:c>
      <x:c r="M11" s="7" t="str">
        <x:v>New</x:v>
      </x:c>
      <x:c r="N11" s="7" t="str">
        <x:v>Pitch a focused refresh: mobile menu, photos, reviews, online ordering/contact CTA, and neighborhood SEO. They likely want more walk-ins, calls, and repeat customers.</x:v>
      </x:c>
      <x:c r="O11" s="12"/>
    </x:row>
    <x:row r="12" ht="64" customHeight="1">
      <x:c r="A12" s="11" t="str">
        <x:v>Serano Bakery Astoria</x:v>
      </x:c>
      <x:c r="B12" s="7" t="str">
        <x:v>Bakery</x:v>
      </x:c>
      <x:c r="C12" s="7" t="str">
        <x:v>(929) 556-4459</x:v>
      </x:c>
      <x:c r="D12" s="7"/>
      <x:c r="E12" s="7" t="str">
        <x:v>35-14 30th Ave.</x:v>
      </x:c>
      <x:c r="F12" s="7" t="str">
        <x:v>Astoria</x:v>
      </x:c>
      <x:c r="G12" s="7" t="str">
        <x:v>NY</x:v>
      </x:c>
      <x:c r="H12" s="7" t="str">
        <x:v>11103</x:v>
      </x:c>
      <x:c r="I12" s="7" t="str">
        <x:v>https://seranobakeryastoria.com/</x:v>
      </x:c>
      <x:c r="J12" s="7" t="str">
        <x:v>Catering, bulk orders, dessert tables, custom cakes</x:v>
      </x:c>
      <x:c r="K12" s="7" t="str">
        <x:v>Working website</x:v>
      </x:c>
      <x:c r="L12" s="7" t="str">
        <x:v>Medium</x:v>
      </x:c>
      <x:c r="M12" s="7" t="str">
        <x:v>New</x:v>
      </x:c>
      <x:c r="N12" s="7" t="str">
        <x:v>Pitch online ordering for events: cake/catering inquiry form, photo gallery, deposit/payment workflow, and occasion pages. They likely want higher-value custom orders with less back-and-forth.</x:v>
      </x:c>
      <x:c r="O12" s="12"/>
    </x:row>
    <x:row r="13" ht="64" customHeight="1">
      <x:c r="A13" s="11" t="str">
        <x:v>Sancho Pancho Bakery</x:v>
      </x:c>
      <x:c r="B13" s="7" t="str">
        <x:v>Wholesale bakery</x:v>
      </x:c>
      <x:c r="C13" s="7" t="str">
        <x:v>1-347-497-5176</x:v>
      </x:c>
      <x:c r="D13" s="7" t="str">
        <x:v>NyBakery@gmail.com</x:v>
      </x:c>
      <x:c r="E13" s="7" t="str">
        <x:v>6905 Fort Hamilton Pkwy</x:v>
      </x:c>
      <x:c r="F13" s="7" t="str">
        <x:v>Brooklyn</x:v>
      </x:c>
      <x:c r="G13" s="7" t="str">
        <x:v>NY</x:v>
      </x:c>
      <x:c r="H13" s="7" t="str">
        <x:v>11228</x:v>
      </x:c>
      <x:c r="I13" s="7" t="str">
        <x:v>https://www.sanchopanchobakery.com/</x:v>
      </x:c>
      <x:c r="J13" s="7" t="str">
        <x:v>Wholesale cakes and desserts</x:v>
      </x:c>
      <x:c r="K13" s="7" t="str">
        <x:v>Working website</x:v>
      </x:c>
      <x:c r="L13" s="7" t="str">
        <x:v>Medium</x:v>
      </x:c>
      <x:c r="M13" s="7" t="str">
        <x:v>New</x:v>
      </x:c>
      <x:c r="N13" s="7" t="str">
        <x:v>Pitch wholesale lead capture: product catalog, account-request form, route/service area page, and email/phone CTAs. They likely want reliable restaurant/cafe buyers and easier repeat orders.</x:v>
      </x:c>
      <x:c r="O13" s="12"/>
    </x:row>
    <x:row r="14" ht="64" customHeight="1">
      <x:c r="A14" s="11" t="str">
        <x:v>Strauss Bakery Retail</x:v>
      </x:c>
      <x:c r="B14" s="7" t="str">
        <x:v>Bakery retail</x:v>
      </x:c>
      <x:c r="C14" s="7" t="str">
        <x:v>(718) 851-7728</x:v>
      </x:c>
      <x:c r="D14" s="7" t="str">
        <x:v>Orders@straussbakery.com</x:v>
      </x:c>
      <x:c r="E14" s="7" t="str">
        <x:v>5115 13th Avenue</x:v>
      </x:c>
      <x:c r="F14" s="7" t="str">
        <x:v>Brooklyn</x:v>
      </x:c>
      <x:c r="G14" s="7" t="str">
        <x:v>NY</x:v>
      </x:c>
      <x:c r="H14" s="7" t="str">
        <x:v>11219</x:v>
      </x:c>
      <x:c r="I14" s="7" t="str">
        <x:v>https://straussbakery.com/contact-us/</x:v>
      </x:c>
      <x:c r="J14" s="7" t="str">
        <x:v>Retail bakery location</x:v>
      </x:c>
      <x:c r="K14" s="7" t="str">
        <x:v>Working website</x:v>
      </x:c>
      <x:c r="L14" s="7" t="str">
        <x:v>Low</x:v>
      </x:c>
      <x:c r="M14" s="7" t="str">
        <x:v>New</x:v>
      </x:c>
      <x:c r="N14" s="7" t="str">
        <x:v>Pitch a focused refresh: mobile menu, photos, reviews, online ordering/contact CTA, and neighborhood SEO. They likely want more walk-ins, calls, and repeat customers.</x:v>
      </x:c>
      <x:c r="O14" s="12"/>
    </x:row>
    <x:row r="15" ht="64" customHeight="1">
      <x:c r="A15" s="11" t="str">
        <x:v>Strauss Bakery Wholesale</x:v>
      </x:c>
      <x:c r="B15" s="7" t="str">
        <x:v>Wholesale bakery</x:v>
      </x:c>
      <x:c r="C15" s="7" t="str">
        <x:v>(718) 851-8751</x:v>
      </x:c>
      <x:c r="D15" s="7" t="str">
        <x:v>Orders@straussbakery.com</x:v>
      </x:c>
      <x:c r="E15" s="7" t="str">
        <x:v>1430 37th Street</x:v>
      </x:c>
      <x:c r="F15" s="7" t="str">
        <x:v>Brooklyn</x:v>
      </x:c>
      <x:c r="G15" s="7" t="str">
        <x:v>NY</x:v>
      </x:c>
      <x:c r="H15" s="7" t="str">
        <x:v>11218</x:v>
      </x:c>
      <x:c r="I15" s="7" t="str">
        <x:v>https://straussbakery.com/contact-us/</x:v>
      </x:c>
      <x:c r="J15" s="7" t="str">
        <x:v>Separate wholesale location</x:v>
      </x:c>
      <x:c r="K15" s="7" t="str">
        <x:v>Working website</x:v>
      </x:c>
      <x:c r="L15" s="7" t="str">
        <x:v>Medium</x:v>
      </x:c>
      <x:c r="M15" s="7" t="str">
        <x:v>New</x:v>
      </x:c>
      <x:c r="N15" s="7" t="str">
        <x:v>Pitch wholesale lead capture: product catalog, account-request form, route/service area page, and email/phone CTAs. They likely want reliable restaurant/cafe buyers and easier repeat orders.</x:v>
      </x:c>
      <x:c r="O15" s="12"/>
    </x:row>
    <x:row r="16" ht="64" customHeight="1">
      <x:c r="A16" s="11" t="str">
        <x:v>NY Brooklyn Bread</x:v>
      </x:c>
      <x:c r="B16" s="7" t="str">
        <x:v>Wholesale bakery supply</x:v>
      </x:c>
      <x:c r="C16" s="7" t="str">
        <x:v>718-837-0709</x:v>
      </x:c>
      <x:c r="D16" s="7"/>
      <x:c r="E16" s="7" t="str">
        <x:v>8118 18th Ave</x:v>
      </x:c>
      <x:c r="F16" s="7" t="str">
        <x:v>Brooklyn</x:v>
      </x:c>
      <x:c r="G16" s="7" t="str">
        <x:v>NY</x:v>
      </x:c>
      <x:c r="H16" s="7" t="str">
        <x:v>11214</x:v>
      </x:c>
      <x:c r="I16" s="7" t="str">
        <x:v>https://nybrooklynbread.com/</x:v>
      </x:c>
      <x:c r="J16" s="7" t="str">
        <x:v>Wholesale bread, rolls, bagels for foodservice buyers</x:v>
      </x:c>
      <x:c r="K16" s="7" t="str">
        <x:v>Working website</x:v>
      </x:c>
      <x:c r="L16" s="7" t="str">
        <x:v>Medium</x:v>
      </x:c>
      <x:c r="M16" s="7" t="str">
        <x:v>New</x:v>
      </x:c>
      <x:c r="N16" s="7" t="str">
        <x:v>Pitch wholesale lead capture: product catalog, account-request form, route/service area page, and email/phone CTAs. They likely want reliable restaurant/cafe buyers and easier repeat orders.</x:v>
      </x:c>
      <x:c r="O16" s="12"/>
    </x:row>
    <x:row r="17" ht="64" customHeight="1">
      <x:c r="A17" s="11" t="str">
        <x:v>Bushwick Bakery</x:v>
      </x:c>
      <x:c r="B17" s="7" t="str">
        <x:v>Bakery wholesale/catering</x:v>
      </x:c>
      <x:c r="C17" s="7" t="str">
        <x:v>(718) 541-5739</x:v>
      </x:c>
      <x:c r="D17" s="7" t="str">
        <x:v>bushwickbakery.ss@gmail.com</x:v>
      </x:c>
      <x:c r="E17" s="7" t="str">
        <x:v>127 Central Ave.</x:v>
      </x:c>
      <x:c r="F17" s="7" t="str">
        <x:v>Brooklyn</x:v>
      </x:c>
      <x:c r="G17" s="7" t="str">
        <x:v>NY</x:v>
      </x:c>
      <x:c r="H17" s="7" t="str">
        <x:v>11237</x:v>
      </x:c>
      <x:c r="I17" s="7" t="str">
        <x:v>https://www.bushwick-bakery.com/contact</x:v>
      </x:c>
      <x:c r="J17" s="7" t="str">
        <x:v>Wholesale and special orders contact</x:v>
      </x:c>
      <x:c r="K17" s="7" t="str">
        <x:v>Working website</x:v>
      </x:c>
      <x:c r="L17" s="7" t="str">
        <x:v>Medium</x:v>
      </x:c>
      <x:c r="M17" s="7" t="str">
        <x:v>New</x:v>
      </x:c>
      <x:c r="N17" s="7" t="str">
        <x:v>Pitch wholesale lead capture: product catalog, account-request form, route/service area page, and email/phone CTAs. They likely want reliable restaurant/cafe buyers and easier repeat orders.</x:v>
      </x:c>
      <x:c r="O17" s="12"/>
    </x:row>
    <x:row r="18" ht="64" customHeight="1">
      <x:c r="A18" s="11" t="str">
        <x:v>The Good Batch Bakery</x:v>
      </x:c>
      <x:c r="B18" s="7" t="str">
        <x:v>Bakery/catering/wholesale</x:v>
      </x:c>
      <x:c r="C18" s="7" t="str">
        <x:v>(718) 622-4000</x:v>
      </x:c>
      <x:c r="D18" s="7"/>
      <x:c r="E18" s="7" t="str">
        <x:v>936 Fulton Street</x:v>
      </x:c>
      <x:c r="F18" s="7" t="str">
        <x:v>Brooklyn</x:v>
      </x:c>
      <x:c r="G18" s="7" t="str">
        <x:v>NY</x:v>
      </x:c>
      <x:c r="H18" s="7" t="str">
        <x:v>11238</x:v>
      </x:c>
      <x:c r="I18" s="7" t="str">
        <x:v>https://thegoodbatch.com/</x:v>
      </x:c>
      <x:c r="J18" s="7" t="str">
        <x:v>Catering and wholesale sections</x:v>
      </x:c>
      <x:c r="K18" s="7" t="str">
        <x:v>Working website</x:v>
      </x:c>
      <x:c r="L18" s="7" t="str">
        <x:v>Medium</x:v>
      </x:c>
      <x:c r="M18" s="7" t="str">
        <x:v>New</x:v>
      </x:c>
      <x:c r="N18" s="7" t="str">
        <x:v>Pitch wholesale lead capture: product catalog, account-request form, route/service area page, and email/phone CTAs. They likely want reliable restaurant/cafe buyers and easier repeat orders.</x:v>
      </x:c>
      <x:c r="O18" s="12"/>
    </x:row>
    <x:row r="19" ht="64" customHeight="1">
      <x:c r="A19" s="11" t="str">
        <x:v>Bread Plus Outlet</x:v>
      </x:c>
      <x:c r="B19" s="7" t="str">
        <x:v>Wholesale bakery manufacturer</x:v>
      </x:c>
      <x:c r="C19" s="7" t="str">
        <x:v>1 (347) 462-3838</x:v>
      </x:c>
      <x:c r="D19" s="7" t="str">
        <x:v>breadplusoutlet@gmail.com</x:v>
      </x:c>
      <x:c r="E19" s="7" t="str">
        <x:v>16 Avenue T</x:v>
      </x:c>
      <x:c r="F19" s="7" t="str">
        <x:v>Brooklyn</x:v>
      </x:c>
      <x:c r="G19" s="7" t="str">
        <x:v>NY</x:v>
      </x:c>
      <x:c r="H19" s="7" t="str">
        <x:v>11223</x:v>
      </x:c>
      <x:c r="I19" s="7" t="str">
        <x:v>https://breadplusoutlet.com/</x:v>
      </x:c>
      <x:c r="J19" s="7" t="str">
        <x:v>Wholesale credit application and nationwide delivery</x:v>
      </x:c>
      <x:c r="K19" s="7" t="str">
        <x:v>Working website</x:v>
      </x:c>
      <x:c r="L19" s="7" t="str">
        <x:v>Medium</x:v>
      </x:c>
      <x:c r="M19" s="7" t="str">
        <x:v>New</x:v>
      </x:c>
      <x:c r="N19" s="7" t="str">
        <x:v>Pitch wholesale lead capture: product catalog, account-request form, route/service area page, and email/phone CTAs. They likely want reliable restaurant/cafe buyers and easier repeat orders.</x:v>
      </x:c>
      <x:c r="O19" s="12"/>
    </x:row>
    <x:row r="20" ht="64" customHeight="1">
      <x:c r="A20" s="11" t="str">
        <x:v>ByClio Bakery</x:v>
      </x:c>
      <x:c r="B20" s="7" t="str">
        <x:v>Custom cakes/wholesale</x:v>
      </x:c>
      <x:c r="C20" s="7" t="str">
        <x:v>(585) 204-3121</x:v>
      </x:c>
      <x:c r="D20" s="7"/>
      <x:c r="E20" s="7" t="str">
        <x:v>400 3rd Avenue</x:v>
      </x:c>
      <x:c r="F20" s="7" t="str">
        <x:v>Brooklyn</x:v>
      </x:c>
      <x:c r="G20" s="7" t="str">
        <x:v>NY</x:v>
      </x:c>
      <x:c r="H20" s="7" t="str">
        <x:v>11215</x:v>
      </x:c>
      <x:c r="I20" s="7" t="str">
        <x:v>https://www.bycliobakery.net/</x:v>
      </x:c>
      <x:c r="J20" s="7" t="str">
        <x:v>Custom cakes and wholesale cookie dough</x:v>
      </x:c>
      <x:c r="K20" s="7" t="str">
        <x:v>Working website</x:v>
      </x:c>
      <x:c r="L20" s="7" t="str">
        <x:v>Medium</x:v>
      </x:c>
      <x:c r="M20" s="7" t="str">
        <x:v>New</x:v>
      </x:c>
      <x:c r="N20" s="7" t="str">
        <x:v>Pitch wholesale lead capture: product catalog, account-request form, route/service area page, and email/phone CTAs. They likely want reliable restaurant/cafe buyers and easier repeat orders.</x:v>
      </x:c>
      <x:c r="O20" s="12"/>
    </x:row>
    <x:row r="21" ht="64" customHeight="1">
      <x:c r="A21" s="11" t="str">
        <x:v>Bread Plus Bakery</x:v>
      </x:c>
      <x:c r="B21" s="7" t="str">
        <x:v>Wholesale and retail bakery</x:v>
      </x:c>
      <x:c r="C21" s="7" t="str">
        <x:v>(718) 373-3700</x:v>
      </x:c>
      <x:c r="D21" s="7"/>
      <x:c r="E21" s="7" t="str">
        <x:v>2841 Harway Ave</x:v>
      </x:c>
      <x:c r="F21" s="7" t="str">
        <x:v>Brooklyn</x:v>
      </x:c>
      <x:c r="G21" s="7" t="str">
        <x:v>NY</x:v>
      </x:c>
      <x:c r="H21" s="7" t="str">
        <x:v>11214</x:v>
      </x:c>
      <x:c r="I21" s="7" t="str">
        <x:v>https://www.breadplusbaker.com/</x:v>
      </x:c>
      <x:c r="J21" s="7" t="str">
        <x:v>Retail plus wholesale bakery family</x:v>
      </x:c>
      <x:c r="K21" s="7" t="str">
        <x:v>Working website</x:v>
      </x:c>
      <x:c r="L21" s="7" t="str">
        <x:v>Medium</x:v>
      </x:c>
      <x:c r="M21" s="7" t="str">
        <x:v>New</x:v>
      </x:c>
      <x:c r="N21" s="7" t="str">
        <x:v>Pitch wholesale lead capture: product catalog, account-request form, route/service area page, and email/phone CTAs. They likely want reliable restaurant/cafe buyers and easier repeat orders.</x:v>
      </x:c>
      <x:c r="O21" s="12"/>
    </x:row>
    <x:row r="22" ht="64" customHeight="1">
      <x:c r="A22" s="11" t="str">
        <x:v>Sunrise Bakery</x:v>
      </x:c>
      <x:c r="B22" s="7" t="str">
        <x:v>Wholesale bread distributor</x:v>
      </x:c>
      <x:c r="C22" s="7" t="str">
        <x:v>(646) 235-7414</x:v>
      </x:c>
      <x:c r="D22" s="7"/>
      <x:c r="E22" s="7" t="str">
        <x:v>65 Bay 19th Street</x:v>
      </x:c>
      <x:c r="F22" s="7" t="str">
        <x:v>Brooklyn</x:v>
      </x:c>
      <x:c r="G22" s="7" t="str">
        <x:v>NY</x:v>
      </x:c>
      <x:c r="H22" s="7" t="str">
        <x:v>11214</x:v>
      </x:c>
      <x:c r="I22" s="7" t="str">
        <x:v>https://sunrisebakeryny.com/</x:v>
      </x:c>
      <x:c r="J22" s="7" t="str">
        <x:v>Strictly wholesale bread delivery</x:v>
      </x:c>
      <x:c r="K22" s="7" t="str">
        <x:v>Working website</x:v>
      </x:c>
      <x:c r="L22" s="7" t="str">
        <x:v>Medium</x:v>
      </x:c>
      <x:c r="M22" s="7" t="str">
        <x:v>New</x:v>
      </x:c>
      <x:c r="N22" s="7" t="str">
        <x:v>Pitch wholesale lead capture: product catalog, account-request form, route/service area page, and email/phone CTAs. They likely want reliable restaurant/cafe buyers and easier repeat orders.</x:v>
      </x:c>
      <x:c r="O22" s="12"/>
    </x:row>
    <x:row r="23" ht="64" customHeight="1">
      <x:c r="A23" s="11" t="str">
        <x:v>Il Fornaretto Bakery - 17th Ave.</x:v>
      </x:c>
      <x:c r="B23" s="7" t="str">
        <x:v>Wholesale and retail bakery</x:v>
      </x:c>
      <x:c r="C23" s="7" t="str">
        <x:v>(718) 236-6669</x:v>
      </x:c>
      <x:c r="D23" s="7" t="str">
        <x:v>office17@ilfornarettobakery.com</x:v>
      </x:c>
      <x:c r="E23" s="7" t="str">
        <x:v>7616 17th Ave</x:v>
      </x:c>
      <x:c r="F23" s="7" t="str">
        <x:v>Brooklyn</x:v>
      </x:c>
      <x:c r="G23" s="7" t="str">
        <x:v>NY</x:v>
      </x:c>
      <x:c r="H23" s="7" t="str">
        <x:v>11214</x:v>
      </x:c>
      <x:c r="I23" s="7" t="str">
        <x:v>https://www.ilfornarettobakery1927.com/</x:v>
      </x:c>
      <x:c r="J23" s="7" t="str">
        <x:v>Wholesale and retail bakery serving Tri-State area</x:v>
      </x:c>
      <x:c r="K23" s="7" t="str">
        <x:v>Working website</x:v>
      </x:c>
      <x:c r="L23" s="7" t="str">
        <x:v>Medium</x:v>
      </x:c>
      <x:c r="M23" s="7" t="str">
        <x:v>New</x:v>
      </x:c>
      <x:c r="N23" s="7" t="str">
        <x:v>Pitch wholesale lead capture: product catalog, account-request form, route/service area page, and email/phone CTAs. They likely want reliable restaurant/cafe buyers and easier repeat orders.</x:v>
      </x:c>
      <x:c r="O23" s="12"/>
    </x:row>
    <x:row r="24" ht="64" customHeight="1">
      <x:c r="A24" s="11" t="str">
        <x:v>Il Fornaretto Bakery - 5th Ave.</x:v>
      </x:c>
      <x:c r="B24" s="7" t="str">
        <x:v>Wholesale and retail bakery</x:v>
      </x:c>
      <x:c r="C24" s="7" t="str">
        <x:v>(718) 680-2323</x:v>
      </x:c>
      <x:c r="D24" s="7" t="str">
        <x:v>office@ilfornarettobakery.com</x:v>
      </x:c>
      <x:c r="E24" s="7" t="str">
        <x:v>7612 5th Ave</x:v>
      </x:c>
      <x:c r="F24" s="7" t="str">
        <x:v>Brooklyn</x:v>
      </x:c>
      <x:c r="G24" s="7" t="str">
        <x:v>NY</x:v>
      </x:c>
      <x:c r="H24" s="7" t="str">
        <x:v>11209</x:v>
      </x:c>
      <x:c r="I24" s="7" t="str">
        <x:v>https://www.ilfornarettobakery1927.com/</x:v>
      </x:c>
      <x:c r="J24" s="7" t="str">
        <x:v>Second retail/wholesale location</x:v>
      </x:c>
      <x:c r="K24" s="7" t="str">
        <x:v>Working website</x:v>
      </x:c>
      <x:c r="L24" s="7" t="str">
        <x:v>Medium</x:v>
      </x:c>
      <x:c r="M24" s="7" t="str">
        <x:v>New</x:v>
      </x:c>
      <x:c r="N24" s="7" t="str">
        <x:v>Pitch wholesale lead capture: product catalog, account-request form, route/service area page, and email/phone CTAs. They likely want reliable restaurant/cafe buyers and easier repeat orders.</x:v>
      </x:c>
      <x:c r="O24" s="12"/>
    </x:row>
    <x:row r="25" ht="64" customHeight="1">
      <x:c r="A25" s="11" t="str">
        <x:v>All You Knead Bakery</x:v>
      </x:c>
      <x:c r="B25" s="7" t="str">
        <x:v>Artisan bakery</x:v>
      </x:c>
      <x:c r="C25" s="7"/>
      <x:c r="D25" s="7" t="str">
        <x:v>allyouknead67@gmail.com</x:v>
      </x:c>
      <x:c r="E25" s="7" t="str">
        <x:v>308 Main Street</x:v>
      </x:c>
      <x:c r="F25" s="7" t="str">
        <x:v>Beacon</x:v>
      </x:c>
      <x:c r="G25" s="7" t="str">
        <x:v>NY</x:v>
      </x:c>
      <x:c r="H25" s="7" t="str">
        <x:v>12508</x:v>
      </x:c>
      <x:c r="I25" s="7" t="str">
        <x:v>https://www.allyoukneadny.com/</x:v>
      </x:c>
      <x:c r="J25" s="7" t="str">
        <x:v>Special orders, wholesale, catering requests</x:v>
      </x:c>
      <x:c r="K25" s="7" t="str">
        <x:v>Working website</x:v>
      </x:c>
      <x:c r="L25" s="7" t="str">
        <x:v>Medium</x:v>
      </x:c>
      <x:c r="M25" s="7" t="str">
        <x:v>New</x:v>
      </x:c>
      <x:c r="N25" s="7" t="str">
        <x:v>Pitch online ordering for events: cake/catering inquiry form, photo gallery, deposit/payment workflow, and occasion pages. They likely want higher-value custom orders with less back-and-forth.</x:v>
      </x:c>
      <x:c r="O25" s="12"/>
    </x:row>
    <x:row r="26" ht="64" customHeight="1">
      <x:c r="A26" s="11" t="str">
        <x:v>Royal Crown Bakery</x:v>
      </x:c>
      <x:c r="B26" s="7" t="str">
        <x:v>Wholesale bakery</x:v>
      </x:c>
      <x:c r="C26" s="7" t="str">
        <x:v>(718) 234-3208</x:v>
      </x:c>
      <x:c r="D26" s="7"/>
      <x:c r="E26" s="7" t="str">
        <x:v>6308 14th Ave</x:v>
      </x:c>
      <x:c r="F26" s="7" t="str">
        <x:v>Brooklyn</x:v>
      </x:c>
      <x:c r="G26" s="7" t="str">
        <x:v>NY</x:v>
      </x:c>
      <x:c r="H26" s="7" t="str">
        <x:v>11219</x:v>
      </x:c>
      <x:c r="I26" s="7" t="str">
        <x:v>https://www.yellowpages.com/brooklyn-ny/wholesale-bakeries</x:v>
      </x:c>
      <x:c r="J26" s="7" t="str">
        <x:v>Listed as wholesale bakery</x:v>
      </x:c>
      <x:c r="K26" s="7" t="str">
        <x:v>Directory only / no clear site</x:v>
      </x:c>
      <x:c r="L26" s="7" t="str">
        <x:v>High</x:v>
      </x:c>
      <x:c r="M26" s="7" t="str">
        <x:v>New</x:v>
      </x:c>
      <x:c r="N26" s="7" t="str">
        <x:v>Pitch Royal Crown Bakery on replacing directory dependence with a simple bakery website: menu/product photos, call button, Google Maps, quote/order form, and SEO for Brooklyn bakery searches. They likely want more calls, trust, and wholesale/custom-order inquiries.</x:v>
      </x:c>
      <x:c r="O26" s="12"/>
    </x:row>
    <x:row r="27" ht="64" customHeight="1">
      <x:c r="A27" s="11" t="str">
        <x:v>Aladdin Bakers</x:v>
      </x:c>
      <x:c r="B27" s="7" t="str">
        <x:v>Wholesale bakery</x:v>
      </x:c>
      <x:c r="C27" s="7" t="str">
        <x:v>(718) 499-1818</x:v>
      </x:c>
      <x:c r="D27" s="7"/>
      <x:c r="E27" s="7" t="str">
        <x:v>240 25th St</x:v>
      </x:c>
      <x:c r="F27" s="7" t="str">
        <x:v>Brooklyn</x:v>
      </x:c>
      <x:c r="G27" s="7" t="str">
        <x:v>NY</x:v>
      </x:c>
      <x:c r="H27" s="7" t="str">
        <x:v>11232</x:v>
      </x:c>
      <x:c r="I27" s="7" t="str">
        <x:v>https://www.yellowpages.com/brooklyn-ny/wholesale-bakeries</x:v>
      </x:c>
      <x:c r="J27" s="7" t="str">
        <x:v>Listed as wholesale bakery; bread products</x:v>
      </x:c>
      <x:c r="K27" s="7" t="str">
        <x:v>Directory only / no clear site</x:v>
      </x:c>
      <x:c r="L27" s="7" t="str">
        <x:v>High</x:v>
      </x:c>
      <x:c r="M27" s="7" t="str">
        <x:v>New</x:v>
      </x:c>
      <x:c r="N27" s="7" t="str">
        <x:v>Pitch Aladdin Bakers on replacing directory dependence with a simple bakery website: menu/product photos, call button, Google Maps, quote/order form, and SEO for Brooklyn bakery searches. They likely want more calls, trust, and wholesale/custom-order inquiries.</x:v>
      </x:c>
      <x:c r="O27" s="12"/>
    </x:row>
    <x:row r="28" ht="64" customHeight="1">
      <x:c r="A28" s="11" t="str">
        <x:v>New Style Bakery Inc</x:v>
      </x:c>
      <x:c r="B28" s="7" t="str">
        <x:v>Wholesale bakery</x:v>
      </x:c>
      <x:c r="C28" s="7" t="str">
        <x:v>(718) 437-4222</x:v>
      </x:c>
      <x:c r="D28" s="7"/>
      <x:c r="E28" s="7" t="str">
        <x:v>896 Mcdonald Ave</x:v>
      </x:c>
      <x:c r="F28" s="7" t="str">
        <x:v>Brooklyn</x:v>
      </x:c>
      <x:c r="G28" s="7" t="str">
        <x:v>NY</x:v>
      </x:c>
      <x:c r="H28" s="7" t="str">
        <x:v>11218</x:v>
      </x:c>
      <x:c r="I28" s="7" t="str">
        <x:v>https://www.yellowpages.com/brooklyn-ny/wholesale-bakeries</x:v>
      </x:c>
      <x:c r="J28" s="7" t="str">
        <x:v>Listed as wholesale bakery</x:v>
      </x:c>
      <x:c r="K28" s="7" t="str">
        <x:v>Directory only / no clear site</x:v>
      </x:c>
      <x:c r="L28" s="7" t="str">
        <x:v>High</x:v>
      </x:c>
      <x:c r="M28" s="7" t="str">
        <x:v>New</x:v>
      </x:c>
      <x:c r="N28" s="7" t="str">
        <x:v>Pitch New Style Bakery Inc on replacing directory dependence with a simple bakery website: menu/product photos, call button, Google Maps, quote/order form, and SEO for Brooklyn bakery searches. They likely want more calls, trust, and wholesale/custom-order inquiries.</x:v>
      </x:c>
      <x:c r="O28" s="12"/>
    </x:row>
    <x:row r="29" ht="64" customHeight="1">
      <x:c r="A29" s="11" t="str">
        <x:v>Russian Bread Co Inc</x:v>
      </x:c>
      <x:c r="B29" s="7" t="str">
        <x:v>Wholesale bakery</x:v>
      </x:c>
      <x:c r="C29" s="7" t="str">
        <x:v>(718) 372-8530</x:v>
      </x:c>
      <x:c r="D29" s="7"/>
      <x:c r="E29" s="7" t="str">
        <x:v>129 Brighton Beach Ave</x:v>
      </x:c>
      <x:c r="F29" s="7" t="str">
        <x:v>Brooklyn</x:v>
      </x:c>
      <x:c r="G29" s="7" t="str">
        <x:v>NY</x:v>
      </x:c>
      <x:c r="H29" s="7" t="str">
        <x:v>11235</x:v>
      </x:c>
      <x:c r="I29" s="7" t="str">
        <x:v>https://www.yellowpages.com/brooklyn-ny/wholesale-bakeries</x:v>
      </x:c>
      <x:c r="J29" s="7" t="str">
        <x:v>Listed as wholesale bakery</x:v>
      </x:c>
      <x:c r="K29" s="7" t="str">
        <x:v>Directory only / no clear site</x:v>
      </x:c>
      <x:c r="L29" s="7" t="str">
        <x:v>High</x:v>
      </x:c>
      <x:c r="M29" s="7" t="str">
        <x:v>New</x:v>
      </x:c>
      <x:c r="N29" s="7" t="str">
        <x:v>Pitch Russian Bread Co Inc on replacing directory dependence with a simple bakery website: menu/product photos, call button, Google Maps, quote/order form, and SEO for Brooklyn bakery searches. They likely want more calls, trust, and wholesale/custom-order inquiries.</x:v>
      </x:c>
      <x:c r="O29" s="12"/>
    </x:row>
    <x:row r="30" ht="64" customHeight="1">
      <x:c r="A30" s="11" t="str">
        <x:v>T &amp; D Bakery</x:v>
      </x:c>
      <x:c r="B30" s="7" t="str">
        <x:v>Wholesale bakery</x:v>
      </x:c>
      <x:c r="C30" s="7" t="str">
        <x:v>(718) 769-2267</x:v>
      </x:c>
      <x:c r="D30" s="7"/>
      <x:c r="E30" s="7" t="str">
        <x:v>2307 Avenue U</x:v>
      </x:c>
      <x:c r="F30" s="7" t="str">
        <x:v>Brooklyn</x:v>
      </x:c>
      <x:c r="G30" s="7" t="str">
        <x:v>NY</x:v>
      </x:c>
      <x:c r="H30" s="7" t="str">
        <x:v>11229</x:v>
      </x:c>
      <x:c r="I30" s="7" t="str">
        <x:v>https://www.yellowpages.com/brooklyn-ny/wholesale-bakeries</x:v>
      </x:c>
      <x:c r="J30" s="7" t="str">
        <x:v>Listed as wholesale bakery and wedding cakes/pastries</x:v>
      </x:c>
      <x:c r="K30" s="7" t="str">
        <x:v>Directory only / no clear site</x:v>
      </x:c>
      <x:c r="L30" s="7" t="str">
        <x:v>High</x:v>
      </x:c>
      <x:c r="M30" s="7" t="str">
        <x:v>New</x:v>
      </x:c>
      <x:c r="N30" s="7" t="str">
        <x:v>Pitch T &amp; D Bakery on replacing directory dependence with a simple bakery website: menu/product photos, call button, Google Maps, quote/order form, and SEO for Brooklyn bakery searches. They likely want more calls, trust, and wholesale/custom-order inquiries.</x:v>
      </x:c>
      <x:c r="O30" s="12"/>
    </x:row>
    <x:row r="31" ht="64" customHeight="1">
      <x:c r="A31" s="11" t="str">
        <x:v>Brauner's Bakery</x:v>
      </x:c>
      <x:c r="B31" s="7" t="str">
        <x:v>Wholesale bakery</x:v>
      </x:c>
      <x:c r="C31" s="7" t="str">
        <x:v>(718) 851-1077</x:v>
      </x:c>
      <x:c r="D31" s="7"/>
      <x:c r="E31" s="7" t="str">
        <x:v>1327 54th St</x:v>
      </x:c>
      <x:c r="F31" s="7" t="str">
        <x:v>Brooklyn</x:v>
      </x:c>
      <x:c r="G31" s="7" t="str">
        <x:v>NY</x:v>
      </x:c>
      <x:c r="H31" s="7" t="str">
        <x:v>11219</x:v>
      </x:c>
      <x:c r="I31" s="7" t="str">
        <x:v>https://www.yellowpages.com/brooklyn-ny/wholesale-bakeries</x:v>
      </x:c>
      <x:c r="J31" s="7" t="str">
        <x:v>Listed as wholesale bakery</x:v>
      </x:c>
      <x:c r="K31" s="7" t="str">
        <x:v>Directory only / no clear site</x:v>
      </x:c>
      <x:c r="L31" s="7" t="str">
        <x:v>High</x:v>
      </x:c>
      <x:c r="M31" s="7" t="str">
        <x:v>New</x:v>
      </x:c>
      <x:c r="N31" s="7" t="str">
        <x:v>Pitch Brauner's Bakery on replacing directory dependence with a simple bakery website: menu/product photos, call button, Google Maps, quote/order form, and SEO for Brooklyn bakery searches. They likely want more calls, trust, and wholesale/custom-order inquiries.</x:v>
      </x:c>
      <x:c r="O31" s="12"/>
    </x:row>
    <x:row r="32" ht="64" customHeight="1">
      <x:c r="A32" s="11" t="str">
        <x:v>The BAKERY on Bergen</x:v>
      </x:c>
      <x:c r="B32" s="7" t="str">
        <x:v>Bakery/cupcakes/gluten-free</x:v>
      </x:c>
      <x:c r="C32" s="7" t="str">
        <x:v>(917) 519-6549</x:v>
      </x:c>
      <x:c r="D32" s="7"/>
      <x:c r="E32" s="7" t="str">
        <x:v>740 Bergen St</x:v>
      </x:c>
      <x:c r="F32" s="7" t="str">
        <x:v>Brooklyn</x:v>
      </x:c>
      <x:c r="G32" s="7" t="str">
        <x:v>NY</x:v>
      </x:c>
      <x:c r="H32" s="7" t="str">
        <x:v>11238</x:v>
      </x:c>
      <x:c r="I32" s="7" t="str">
        <x:v>https://www.restaurantji.com/ny/brooklyn/the-bakery-on-bergen-/</x:v>
      </x:c>
      <x:c r="J32" s="7" t="str">
        <x:v>Directory listing shows website/order links but no clear owned website in result</x:v>
      </x:c>
      <x:c r="K32" s="7" t="str">
        <x:v>Website needs review</x:v>
      </x:c>
      <x:c r="L32" s="7" t="str">
        <x:v>High</x:v>
      </x:c>
      <x:c r="M32" s="7" t="str">
        <x:v>New</x:v>
      </x:c>
      <x:c r="N32" s="7" t="str">
        <x:v>Pitch a quick website audit first, then offer a cleaner site or repair: faster mobile pages, working order/contact buttons, updated photos, and stronger local SEO. They likely want fewer missed calls and easier online orders.</x:v>
      </x:c>
      <x:c r="O32" s="12"/>
    </x:row>
    <x:row r="33" ht="64" customHeight="1">
      <x:c r="A33" s="11" t="str">
        <x:v>Brooklyn Bread Company</x:v>
      </x:c>
      <x:c r="B33" s="7" t="str">
        <x:v>Bakery</x:v>
      </x:c>
      <x:c r="C33" s="7" t="str">
        <x:v>(718) 998-0141</x:v>
      </x:c>
      <x:c r="D33" s="7"/>
      <x:c r="E33" s="7" t="str">
        <x:v>292 Kings Hwy</x:v>
      </x:c>
      <x:c r="F33" s="7" t="str">
        <x:v>Brooklyn</x:v>
      </x:c>
      <x:c r="G33" s="7" t="str">
        <x:v>NY</x:v>
      </x:c>
      <x:c r="H33" s="7" t="str">
        <x:v>11223</x:v>
      </x:c>
      <x:c r="I33" s="7" t="str">
        <x:v>https://www.restaurantji.com/ny/brooklyn/brooklyn-bread-company-/</x:v>
      </x:c>
      <x:c r="J33" s="7" t="str">
        <x:v>Directory listing, local bakery with delivery mention</x:v>
      </x:c>
      <x:c r="K33" s="7" t="str">
        <x:v>Website needs review</x:v>
      </x:c>
      <x:c r="L33" s="7" t="str">
        <x:v>High</x:v>
      </x:c>
      <x:c r="M33" s="7" t="str">
        <x:v>New</x:v>
      </x:c>
      <x:c r="N33" s="7" t="str">
        <x:v>Pitch a quick website audit first, then offer a cleaner site or repair: faster mobile pages, working order/contact buttons, updated photos, and stronger local SEO. They likely want fewer missed calls and easier online orders.</x:v>
      </x:c>
      <x:c r="O33" s="12"/>
    </x:row>
    <x:row r="34" ht="64" customHeight="1">
      <x:c r="A34" s="11" t="str">
        <x:v>Cakalicious Cakes</x:v>
      </x:c>
      <x:c r="B34" s="7" t="str">
        <x:v>Wholesale bakery/desserts</x:v>
      </x:c>
      <x:c r="C34" s="7" t="str">
        <x:v>(877) 504-2253</x:v>
      </x:c>
      <x:c r="D34" s="7"/>
      <x:c r="E34" s="7" t="str">
        <x:v>1108 E 55th St</x:v>
      </x:c>
      <x:c r="F34" s="7" t="str">
        <x:v>Brooklyn</x:v>
      </x:c>
      <x:c r="G34" s="7" t="str">
        <x:v>NY</x:v>
      </x:c>
      <x:c r="H34" s="7" t="str">
        <x:v>11234</x:v>
      </x:c>
      <x:c r="I34" s="7" t="str">
        <x:v>https://www.yellowpages.com/brooklyn-ny/wholesale-bakeries</x:v>
      </x:c>
      <x:c r="J34" s="7" t="str">
        <x:v>Directory listing only; cakes/desserts niche</x:v>
      </x:c>
      <x:c r="K34" s="7" t="str">
        <x:v>Directory only / no clear site</x:v>
      </x:c>
      <x:c r="L34" s="7" t="str">
        <x:v>High</x:v>
      </x:c>
      <x:c r="M34" s="7" t="str">
        <x:v>New</x:v>
      </x:c>
      <x:c r="N34" s="7" t="str">
        <x:v>Pitch Cakalicious Cakes on replacing directory dependence with a simple bakery website: menu/product photos, call button, Google Maps, quote/order form, and SEO for Brooklyn bakery searches. They likely want more calls, trust, and wholesale/custom-order inquiries.</x:v>
      </x:c>
      <x:c r="O34" s="12"/>
    </x:row>
    <x:row r="35" ht="64" customHeight="1">
      <x:c r="A35" s="11" t="str">
        <x:v>Front Row Sweets</x:v>
      </x:c>
      <x:c r="B35" s="7" t="str">
        <x:v>Wholesale bakery/restaurant</x:v>
      </x:c>
      <x:c r="C35" s="7" t="str">
        <x:v>(718) 258-7550</x:v>
      </x:c>
      <x:c r="D35" s="7"/>
      <x:c r="E35" s="7" t="str">
        <x:v>4901 Glenwood Rd</x:v>
      </x:c>
      <x:c r="F35" s="7" t="str">
        <x:v>Brooklyn</x:v>
      </x:c>
      <x:c r="G35" s="7" t="str">
        <x:v>NY</x:v>
      </x:c>
      <x:c r="H35" s="7" t="str">
        <x:v>11234</x:v>
      </x:c>
      <x:c r="I35" s="7" t="str">
        <x:v>https://www.yellowpages.com/brooklyn-ny/wholesale-bakeries</x:v>
      </x:c>
      <x:c r="J35" s="7" t="str">
        <x:v>Directory listing only; sweets brand could need product gallery</x:v>
      </x:c>
      <x:c r="K35" s="7" t="str">
        <x:v>Directory only / no clear site</x:v>
      </x:c>
      <x:c r="L35" s="7" t="str">
        <x:v>High</x:v>
      </x:c>
      <x:c r="M35" s="7" t="str">
        <x:v>New</x:v>
      </x:c>
      <x:c r="N35" s="7" t="str">
        <x:v>Pitch Front Row Sweets on replacing directory dependence with a simple bakery website: menu/product photos, call button, Google Maps, quote/order form, and SEO for Brooklyn bakery searches. They likely want more calls, trust, and wholesale/custom-order inquiries.</x:v>
      </x:c>
      <x:c r="O35" s="12"/>
    </x:row>
    <x:row r="36" ht="64" customHeight="1">
      <x:c r="A36" s="11" t="str">
        <x:v>Marbre</x:v>
      </x:c>
      <x:c r="B36" s="7" t="str">
        <x:v>Wholesale bakery</x:v>
      </x:c>
      <x:c r="C36" s="7" t="str">
        <x:v>(347) 296-9368</x:v>
      </x:c>
      <x:c r="D36" s="7"/>
      <x:c r="E36" s="7" t="str">
        <x:v>999 Atlantic Ave</x:v>
      </x:c>
      <x:c r="F36" s="7" t="str">
        <x:v>Brooklyn</x:v>
      </x:c>
      <x:c r="G36" s="7" t="str">
        <x:v>NY</x:v>
      </x:c>
      <x:c r="H36" s="7" t="str">
        <x:v>11238</x:v>
      </x:c>
      <x:c r="I36" s="7" t="str">
        <x:v>https://www.yellowpages.com/brooklyn-ny/wholesale-bakeries</x:v>
      </x:c>
      <x:c r="J36" s="7" t="str">
        <x:v>Directory listing only; wholesale bakery</x:v>
      </x:c>
      <x:c r="K36" s="7" t="str">
        <x:v>Directory only / no clear site</x:v>
      </x:c>
      <x:c r="L36" s="7" t="str">
        <x:v>High</x:v>
      </x:c>
      <x:c r="M36" s="7" t="str">
        <x:v>New</x:v>
      </x:c>
      <x:c r="N36" s="7" t="str">
        <x:v>Pitch Marbre on replacing directory dependence with a simple bakery website: menu/product photos, call button, Google Maps, quote/order form, and SEO for Brooklyn bakery searches. They likely want more calls, trust, and wholesale/custom-order inquiries.</x:v>
      </x:c>
      <x:c r="O36" s="12"/>
    </x:row>
    <x:row r="37" ht="64" customHeight="1">
      <x:c r="A37" s="11" t="str">
        <x:v>European Custom Desserts</x:v>
      </x:c>
      <x:c r="B37" s="7" t="str">
        <x:v>Bakery/wedding cakes</x:v>
      </x:c>
      <x:c r="C37" s="7" t="str">
        <x:v>(917) 937-6775</x:v>
      </x:c>
      <x:c r="D37" s="7"/>
      <x:c r="E37" s="7" t="str">
        <x:v>830 39th St</x:v>
      </x:c>
      <x:c r="F37" s="7" t="str">
        <x:v>Brooklyn</x:v>
      </x:c>
      <x:c r="G37" s="7" t="str">
        <x:v>NY</x:v>
      </x:c>
      <x:c r="H37" s="7" t="str">
        <x:v>11232</x:v>
      </x:c>
      <x:c r="I37" s="7" t="str">
        <x:v>https://www.yellowpages.com/brooklyn-ny/wholesale-bakeries</x:v>
      </x:c>
      <x:c r="J37" s="7" t="str">
        <x:v>Directory listing only; wedding/custom dessert positioning</x:v>
      </x:c>
      <x:c r="K37" s="7" t="str">
        <x:v>Directory only / no clear site</x:v>
      </x:c>
      <x:c r="L37" s="7" t="str">
        <x:v>High</x:v>
      </x:c>
      <x:c r="M37" s="7" t="str">
        <x:v>New</x:v>
      </x:c>
      <x:c r="N37" s="7" t="str">
        <x:v>Pitch European Custom Desserts on replacing directory dependence with a simple bakery website: menu/product photos, call button, Google Maps, quote/order form, and SEO for Brooklyn bakery searches. They likely want more calls, trust, and wholesale/custom-order inquiries.</x:v>
      </x:c>
      <x:c r="O37" s="12"/>
    </x:row>
    <x:row r="38" ht="64" customHeight="1">
      <x:c r="A38" s="11" t="str">
        <x:v>Everybody Eats</x:v>
      </x:c>
      <x:c r="B38" s="7" t="str">
        <x:v>Bakery/restaurant</x:v>
      </x:c>
      <x:c r="C38" s="7" t="str">
        <x:v>(718) 369-7444</x:v>
      </x:c>
      <x:c r="D38" s="7"/>
      <x:c r="E38" s="7" t="str">
        <x:v>294 3rd Ave</x:v>
      </x:c>
      <x:c r="F38" s="7" t="str">
        <x:v>Brooklyn</x:v>
      </x:c>
      <x:c r="G38" s="7" t="str">
        <x:v>NY</x:v>
      </x:c>
      <x:c r="H38" s="7" t="str">
        <x:v>11215</x:v>
      </x:c>
      <x:c r="I38" s="7" t="str">
        <x:v>https://www.yellowpages.com/brooklyn-ny/wholesale-bakeries</x:v>
      </x:c>
      <x:c r="J38" s="7" t="str">
        <x:v>Directory listing only; bakery/restaurant could benefit from online ordering</x:v>
      </x:c>
      <x:c r="K38" s="7" t="str">
        <x:v>Directory only / no clear site</x:v>
      </x:c>
      <x:c r="L38" s="7" t="str">
        <x:v>High</x:v>
      </x:c>
      <x:c r="M38" s="7" t="str">
        <x:v>New</x:v>
      </x:c>
      <x:c r="N38" s="7" t="str">
        <x:v>Pitch Everybody Eats on replacing directory dependence with a simple bakery website: menu/product photos, call button, Google Maps, quote/order form, and SEO for Brooklyn bakery searches. They likely want more calls, trust, and wholesale/custom-order inquiries.</x:v>
      </x:c>
      <x:c r="O38" s="12"/>
    </x:row>
    <x:row r="39" ht="64" customHeight="1">
      <x:c r="A39" s="11" t="str">
        <x:v>Doughlicious Inc</x:v>
      </x:c>
      <x:c r="B39" s="7" t="str">
        <x:v>Wholesale bakery</x:v>
      </x:c>
      <x:c r="C39" s="7" t="str">
        <x:v>(718) 621-4900</x:v>
      </x:c>
      <x:c r="D39" s="7"/>
      <x:c r="E39" s="7" t="str">
        <x:v>1559 62nd St</x:v>
      </x:c>
      <x:c r="F39" s="7" t="str">
        <x:v>Brooklyn</x:v>
      </x:c>
      <x:c r="G39" s="7" t="str">
        <x:v>NY</x:v>
      </x:c>
      <x:c r="H39" s="7" t="str">
        <x:v>11219</x:v>
      </x:c>
      <x:c r="I39" s="7" t="str">
        <x:v>https://www.yellowpages.com/brooklyn-ny/wholesale-bakeries</x:v>
      </x:c>
      <x:c r="J39" s="7" t="str">
        <x:v>Directory listing only; wholesale bakery</x:v>
      </x:c>
      <x:c r="K39" s="7" t="str">
        <x:v>Directory only / no clear site</x:v>
      </x:c>
      <x:c r="L39" s="7" t="str">
        <x:v>High</x:v>
      </x:c>
      <x:c r="M39" s="7" t="str">
        <x:v>New</x:v>
      </x:c>
      <x:c r="N39" s="7" t="str">
        <x:v>Pitch Doughlicious Inc on replacing directory dependence with a simple bakery website: menu/product photos, call button, Google Maps, quote/order form, and SEO for Brooklyn bakery searches. They likely want more calls, trust, and wholesale/custom-order inquiries.</x:v>
      </x:c>
      <x:c r="O39" s="12"/>
    </x:row>
    <x:row r="40" ht="64" customHeight="1">
      <x:c r="A40" s="11" t="str">
        <x:v>Cammareri Bread Inc.</x:v>
      </x:c>
      <x:c r="B40" s="7" t="str">
        <x:v>Wholesale bakery</x:v>
      </x:c>
      <x:c r="C40" s="7" t="str">
        <x:v>(718) 676-4877</x:v>
      </x:c>
      <x:c r="D40" s="7"/>
      <x:c r="E40" s="7" t="str">
        <x:v>4110 3rd Ave</x:v>
      </x:c>
      <x:c r="F40" s="7" t="str">
        <x:v>Brooklyn</x:v>
      </x:c>
      <x:c r="G40" s="7" t="str">
        <x:v>NY</x:v>
      </x:c>
      <x:c r="H40" s="7" t="str">
        <x:v>11232</x:v>
      </x:c>
      <x:c r="I40" s="7" t="str">
        <x:v>https://www.yellowpages.com/brooklyn-ny/wholesale-bakeries</x:v>
      </x:c>
      <x:c r="J40" s="7" t="str">
        <x:v>Directory listing only; bread business</x:v>
      </x:c>
      <x:c r="K40" s="7" t="str">
        <x:v>Directory only / no clear site</x:v>
      </x:c>
      <x:c r="L40" s="7" t="str">
        <x:v>High</x:v>
      </x:c>
      <x:c r="M40" s="7" t="str">
        <x:v>New</x:v>
      </x:c>
      <x:c r="N40" s="7" t="str">
        <x:v>Pitch Cammareri Bread Inc. on replacing directory dependence with a simple bakery website: menu/product photos, call button, Google Maps, quote/order form, and SEO for Brooklyn bakery searches. They likely want more calls, trust, and wholesale/custom-order inquiries.</x:v>
      </x:c>
      <x:c r="O40" s="12"/>
    </x:row>
    <x:row r="41" ht="64" customHeight="1">
      <x:c r="A41" s="13" t="str">
        <x:v>Crystal Bakery</x:v>
      </x:c>
      <x:c r="B41" s="14" t="str">
        <x:v>Wholesale bakery</x:v>
      </x:c>
      <x:c r="C41" s="14" t="str">
        <x:v>(718) 483-8475</x:v>
      </x:c>
      <x:c r="D41" s="14"/>
      <x:c r="E41" s="14" t="str">
        <x:v>2137 Knapp St</x:v>
      </x:c>
      <x:c r="F41" s="14" t="str">
        <x:v>Brooklyn</x:v>
      </x:c>
      <x:c r="G41" s="14" t="str">
        <x:v>NY</x:v>
      </x:c>
      <x:c r="H41" s="14" t="str">
        <x:v>11229</x:v>
      </x:c>
      <x:c r="I41" s="14" t="str">
        <x:v>https://www.yellowpages.com/brooklyn-ny/wholesale-bakeries</x:v>
      </x:c>
      <x:c r="J41" s="14" t="str">
        <x:v>Directory listing only; bakery</x:v>
      </x:c>
      <x:c r="K41" s="14" t="str">
        <x:v>Directory only / no clear site</x:v>
      </x:c>
      <x:c r="L41" s="14" t="str">
        <x:v>High</x:v>
      </x:c>
      <x:c r="M41" s="14" t="str">
        <x:v>New</x:v>
      </x:c>
      <x:c r="N41" s="14" t="str">
        <x:v>Pitch Crystal Bakery on replacing directory dependence with a simple bakery website: menu/product photos, call button, Google Maps, quote/order form, and SEO for Brooklyn bakery searches. They likely want more calls, trust, and wholesale/custom-order inquiries.</x:v>
      </x:c>
      <x:c r="O41" s="15"/>
    </x:row>
  </x:sheetData>
  <x:dataValidations count="2">
    <x:dataValidation type="list" sqref="L2:L41">
      <x:formula1>"High,Medium,Low"</x:formula1>
    </x:dataValidation>
    <x:dataValidation type="list" sqref="M2:M41">
      <x:formula1>"New,Called,Emailed,Follow-up,Won,Not Fit"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3d4909bbcd4a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" hidden="0" customWidth="1"/>
    <x:col min="4" max="4" width="18" hidden="0" customWidth="1"/>
    <x:col min="5" max="5" width="34" hidden="0" customWidth="1"/>
    <x:col min="6" max="6" width="38" hidden="0" customWidth="1"/>
  </x:cols>
  <x:sheetData>
    <x:row r="1" ht="28" customHeight="1">
      <x:c r="A1" s="19" t="str">
        <x:v>Bakery Website Sales Leads</x:v>
      </x:c>
      <x:c r="B1" s="18"/>
      <x:c r="C1" s="18"/>
      <x:c r="D1" s="18"/>
      <x:c r="E1" s="18"/>
      <x:c r="F1" s="18"/>
    </x:row>
    <x:row r="2" ht="28" customHeight="1">
      <x:c r="A2" s="20" t="str">
        <x:v>Researched 2026-08-09. Focus: NYC/Brooklyn bakeries with public phone numbers, no-clear-website targets, website-review targets, and store/ordering opportunities.</x:v>
      </x:c>
      <x:c r="B2" s="18"/>
      <x:c r="C2" s="18"/>
      <x:c r="D2" s="18"/>
      <x:c r="E2" s="18"/>
      <x:c r="F2" s="18"/>
    </x:row>
    <x:row r="4">
      <x:c r="A4" s="25" t="str">
        <x:v>Metric</x:v>
      </x:c>
      <x:c r="B4" s="25" t="str">
        <x:v>Value</x:v>
      </x:c>
      <x:c r="D4" s="25" t="str">
        <x:v>Priority Guide</x:v>
      </x:c>
      <x:c r="E4" s="25" t="str">
        <x:v>Meaning</x:v>
      </x:c>
      <x:c r="F4" s="25" t="str">
        <x:v>Suggested action</x:v>
      </x:c>
    </x:row>
    <x:row r="5" ht="48" customHeight="1">
      <x:c r="A5" s="26" t="str">
        <x:v>Total leads</x:v>
      </x:c>
      <x:c r="B5" s="27" t="n">
        <x:f>COUNTA('Bakery Leads'!A2:A41)</x:f>
        <x:v>40</x:v>
      </x:c>
      <x:c r="D5" s="30" t="str">
        <x:v>High</x:v>
      </x:c>
      <x:c r="E5" s="30" t="str">
        <x:v>Directory only, no clear site, or website needs review</x:v>
      </x:c>
      <x:c r="F5" s="30" t="str">
        <x:v>Pitch modern website, working contact/order flow, and local SEO</x:v>
      </x:c>
    </x:row>
    <x:row r="6" ht="48" customHeight="1">
      <x:c r="A6" s="26" t="str">
        <x:v>High priority leads</x:v>
      </x:c>
      <x:c r="B6" s="27" t="n">
        <x:f>COUNTIF('Bakery Leads'!L2:L41,"High")</x:f>
        <x:v>17</x:v>
      </x:c>
      <x:c r="D6" s="30" t="str">
        <x:v>Medium</x:v>
      </x:c>
      <x:c r="E6" s="30" t="str">
        <x:v>Existing site, but clear growth/wholesale/catering angle</x:v>
      </x:c>
      <x:c r="F6" s="30" t="str">
        <x:v>Pitch redesign, ordering, SEO, lead capture</x:v>
      </x:c>
    </x:row>
    <x:row r="7" ht="48" customHeight="1">
      <x:c r="A7" s="26" t="str">
        <x:v>Leads with emails</x:v>
      </x:c>
      <x:c r="B7" s="27" t="n">
        <x:f>COUNTA('Bakery Leads'!D2:D41)</x:f>
        <x:v>15</x:v>
      </x:c>
      <x:c r="D7" s="30" t="str">
        <x:v>Low</x:v>
      </x:c>
      <x:c r="E7" s="30" t="str">
        <x:v>Established brand or strong site</x:v>
      </x:c>
      <x:c r="F7" s="30" t="str">
        <x:v>Approach only with specific improvement idea</x:v>
      </x:c>
    </x:row>
    <x:row r="8" ht="48" customHeight="1">
      <x:c r="A8" s="26" t="str">
        <x:v>No clear website / directory only</x:v>
      </x:c>
      <x:c r="B8" s="27" t="n">
        <x:f>COUNTIF('Bakery Leads'!K2:K41,"Directory only / no clear site")</x:f>
        <x:v>15</x:v>
      </x:c>
      <x:c r="D8" s="30" t="str">
        <x:v>Website review</x:v>
      </x:c>
      <x:c r="E8" s="30" t="str">
        <x:v>Has some web presence but may rely on a listing or weak ordering path</x:v>
      </x:c>
      <x:c r="F8" s="30" t="str">
        <x:v>Lead with a quick audit: mobile, forms, ordering, photos, speed</x:v>
      </x:c>
    </x:row>
    <x:row r="9">
      <x:c r="A9" s="26" t="str">
        <x:v>Website needs review</x:v>
      </x:c>
      <x:c r="B9" s="27" t="n">
        <x:f>COUNTIF('Bakery Leads'!K2:K41,"Website needs review")</x:f>
        <x:v>2</x:v>
      </x:c>
    </x:row>
    <x:row r="10">
      <x:c r="A10" s="26" t="str">
        <x:v>Working website</x:v>
      </x:c>
      <x:c r="B10" s="27" t="n">
        <x:f>COUNTIF('Bakery Leads'!K2:K41,"Working website")</x:f>
        <x:v>23</x:v>
      </x:c>
    </x:row>
  </x:sheetData>
  <x:mergeCells>
    <x:mergeCell ref="A1:F1"/>
    <x:mergeCell ref="A2:F2"/>
  </x:mergeCells>
  <x:pageMargins left="0.7" right="0.7" top="0.75" bottom="0.75" header="0.3" footer="0.3"/>
</x:worksheet>
</file>